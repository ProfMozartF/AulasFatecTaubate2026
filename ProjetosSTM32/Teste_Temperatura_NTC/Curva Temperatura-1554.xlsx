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_LOCAL\AULAS FATEC\SENSORES E ATUADORES\Aulas\AULAS\Sensores Temperatura\"/>
    </mc:Choice>
  </mc:AlternateContent>
  <xr:revisionPtr revIDLastSave="0" documentId="13_ncr:1_{403E9E6D-45FD-4C13-8FE9-183D501222A1}" xr6:coauthVersionLast="47" xr6:coauthVersionMax="47" xr10:uidLastSave="{00000000-0000-0000-0000-000000000000}"/>
  <bookViews>
    <workbookView xWindow="-28920" yWindow="-120" windowWidth="29040" windowHeight="15720" activeTab="3" xr2:uid="{1D9A3A77-71F0-4909-9ECD-9CA24C7A02A1}"/>
  </bookViews>
  <sheets>
    <sheet name="Calculos iniciais " sheetId="1" r:id="rId1"/>
    <sheet name="Curva tendencia" sheetId="2" r:id="rId2"/>
    <sheet name="CALCULO TEMP 2" sheetId="4" r:id="rId3"/>
    <sheet name="Curva tendencia 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3" i="3" l="1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4" i="3"/>
  <c r="S4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S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2" i="1"/>
</calcChain>
</file>

<file path=xl/sharedStrings.xml><?xml version="1.0" encoding="utf-8"?>
<sst xmlns="http://schemas.openxmlformats.org/spreadsheetml/2006/main" count="32" uniqueCount="16">
  <si>
    <t>Temp</t>
  </si>
  <si>
    <t>Res.Kohm</t>
  </si>
  <si>
    <t>Res.Ohm</t>
  </si>
  <si>
    <t>VIN =</t>
  </si>
  <si>
    <t>R1 =</t>
  </si>
  <si>
    <t>Vout</t>
  </si>
  <si>
    <t xml:space="preserve"> </t>
  </si>
  <si>
    <t>Temperatura</t>
  </si>
  <si>
    <t>Valor R1</t>
  </si>
  <si>
    <t>Vi</t>
  </si>
  <si>
    <t>R2</t>
  </si>
  <si>
    <t>maior valor de resistencia</t>
  </si>
  <si>
    <t>limite superior sensor</t>
  </si>
  <si>
    <t>tensão alimentação</t>
  </si>
  <si>
    <t>R1 - fixo</t>
  </si>
  <si>
    <t>Check da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</si>
</sst>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'Curva tendencia'!$B$1</c:f>
              <c:strCache>
                <c:ptCount val="1"/>
                <c:pt idx="0">
                  <c:v>Temperatura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12567329277638753"/>
                  <c:y val="-0.85288536383524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 tendencia'!$A$2:$A$29</c:f>
              <c:numCache>
                <c:formatCode>0.00</c:formatCode>
                <c:ptCount val="28"/>
                <c:pt idx="0">
                  <c:v>3.1278560250391201</c:v>
                </c:pt>
                <c:pt idx="1">
                  <c:v>3.0697138869504537</c:v>
                </c:pt>
                <c:pt idx="2">
                  <c:v>2.9969140337986775</c:v>
                </c:pt>
                <c:pt idx="3">
                  <c:v>2.9076099881093938</c:v>
                </c:pt>
                <c:pt idx="4">
                  <c:v>2.8004541326067214</c:v>
                </c:pt>
                <c:pt idx="5">
                  <c:v>2.6749999999999998</c:v>
                </c:pt>
                <c:pt idx="6">
                  <c:v>2.3725126475548062</c:v>
                </c:pt>
                <c:pt idx="7">
                  <c:v>2.2000000000000002</c:v>
                </c:pt>
                <c:pt idx="8">
                  <c:v>2.0189440993788819</c:v>
                </c:pt>
                <c:pt idx="9">
                  <c:v>1.8339848956019547</c:v>
                </c:pt>
                <c:pt idx="10">
                  <c:v>1.65</c:v>
                </c:pt>
                <c:pt idx="11">
                  <c:v>1.4715425531914892</c:v>
                </c:pt>
                <c:pt idx="12">
                  <c:v>1.3021794406102432</c:v>
                </c:pt>
                <c:pt idx="13">
                  <c:v>1.1448275862068964</c:v>
                </c:pt>
                <c:pt idx="14">
                  <c:v>1.000989271283266</c:v>
                </c:pt>
                <c:pt idx="15">
                  <c:v>0.87138651751545482</c:v>
                </c:pt>
                <c:pt idx="16">
                  <c:v>0.75645136426699544</c:v>
                </c:pt>
                <c:pt idx="17">
                  <c:v>0.65492144918243023</c:v>
                </c:pt>
                <c:pt idx="18">
                  <c:v>0.56640159045725647</c:v>
                </c:pt>
                <c:pt idx="19">
                  <c:v>0.48981520906071702</c:v>
                </c:pt>
                <c:pt idx="20">
                  <c:v>0.42368168744007667</c:v>
                </c:pt>
                <c:pt idx="21">
                  <c:v>0.36666666666666664</c:v>
                </c:pt>
                <c:pt idx="22">
                  <c:v>0.31762313601446002</c:v>
                </c:pt>
                <c:pt idx="23">
                  <c:v>0.27552928237558427</c:v>
                </c:pt>
                <c:pt idx="24">
                  <c:v>0.23945689271405252</c:v>
                </c:pt>
                <c:pt idx="25">
                  <c:v>0.20849134377576259</c:v>
                </c:pt>
                <c:pt idx="26">
                  <c:v>0.18196832835708074</c:v>
                </c:pt>
                <c:pt idx="27">
                  <c:v>0.15911712637770545</c:v>
                </c:pt>
              </c:numCache>
            </c:numRef>
          </c:xVal>
          <c:yVal>
            <c:numRef>
              <c:f>'Curva tendencia'!$B$2:$B$29</c:f>
              <c:numCache>
                <c:formatCode>General</c:formatCode>
                <c:ptCount val="28"/>
                <c:pt idx="0">
                  <c:v>-30</c:v>
                </c:pt>
                <c:pt idx="1">
                  <c:v>-25</c:v>
                </c:pt>
                <c:pt idx="2">
                  <c:v>-20</c:v>
                </c:pt>
                <c:pt idx="3">
                  <c:v>-15</c:v>
                </c:pt>
                <c:pt idx="4">
                  <c:v>-10</c:v>
                </c:pt>
                <c:pt idx="5">
                  <c:v>-5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35</c:v>
                </c:pt>
                <c:pt idx="13">
                  <c:v>40</c:v>
                </c:pt>
                <c:pt idx="14">
                  <c:v>45</c:v>
                </c:pt>
                <c:pt idx="15">
                  <c:v>50</c:v>
                </c:pt>
                <c:pt idx="16">
                  <c:v>55</c:v>
                </c:pt>
                <c:pt idx="17">
                  <c:v>60</c:v>
                </c:pt>
                <c:pt idx="18">
                  <c:v>65</c:v>
                </c:pt>
                <c:pt idx="19">
                  <c:v>70</c:v>
                </c:pt>
                <c:pt idx="20">
                  <c:v>75</c:v>
                </c:pt>
                <c:pt idx="21">
                  <c:v>80</c:v>
                </c:pt>
                <c:pt idx="22">
                  <c:v>85</c:v>
                </c:pt>
                <c:pt idx="23">
                  <c:v>90</c:v>
                </c:pt>
                <c:pt idx="24">
                  <c:v>95</c:v>
                </c:pt>
                <c:pt idx="25">
                  <c:v>100</c:v>
                </c:pt>
                <c:pt idx="26">
                  <c:v>105</c:v>
                </c:pt>
                <c:pt idx="27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AF-41F1-89FB-65B10E2AA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413439"/>
        <c:axId val="1101430239"/>
      </c:scatterChart>
      <c:valAx>
        <c:axId val="110141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1430239"/>
        <c:crosses val="autoZero"/>
        <c:crossBetween val="midCat"/>
      </c:valAx>
      <c:valAx>
        <c:axId val="110143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141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1993687095587202E-2"/>
          <c:y val="0.10729730462340832"/>
          <c:w val="0.92979485505625259"/>
          <c:h val="0.860880901069298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'Curva tendencia 2'!$B$1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15250810812132415"/>
                  <c:y val="-0.8045000618440740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-11,023x</a:t>
                    </a:r>
                    <a:r>
                      <a:rPr lang="en-US" sz="1400" baseline="30000"/>
                      <a:t>3</a:t>
                    </a:r>
                    <a:r>
                      <a:rPr lang="en-US" sz="1400" baseline="0"/>
                      <a:t> + 60,988x</a:t>
                    </a:r>
                    <a:r>
                      <a:rPr lang="en-US" sz="1400" baseline="30000"/>
                      <a:t>2</a:t>
                    </a:r>
                    <a:r>
                      <a:rPr lang="en-US" sz="1400" baseline="0"/>
                      <a:t> - 139,27x + 143,09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0,9981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 tendencia 2'!$A$2:$A$30</c:f>
              <c:numCache>
                <c:formatCode>General</c:formatCode>
                <c:ptCount val="29"/>
                <c:pt idx="0">
                  <c:v>2.9684348172993098</c:v>
                </c:pt>
                <c:pt idx="1">
                  <c:v>2.8872192483858505</c:v>
                </c:pt>
                <c:pt idx="2">
                  <c:v>2.7928813559322032</c:v>
                </c:pt>
                <c:pt idx="3">
                  <c:v>2.6853065249548016</c:v>
                </c:pt>
                <c:pt idx="4">
                  <c:v>2.5649852603996068</c:v>
                </c:pt>
                <c:pt idx="5">
                  <c:v>2.4330886613869036</c:v>
                </c:pt>
                <c:pt idx="6">
                  <c:v>2.2914153445098653</c:v>
                </c:pt>
                <c:pt idx="7">
                  <c:v>2.1422844760872928</c:v>
                </c:pt>
                <c:pt idx="8">
                  <c:v>1.9884096089777308</c:v>
                </c:pt>
                <c:pt idx="9">
                  <c:v>1.8328538738149722</c:v>
                </c:pt>
                <c:pt idx="10">
                  <c:v>1.6782611837826118</c:v>
                </c:pt>
                <c:pt idx="11">
                  <c:v>1.5274881516587677</c:v>
                </c:pt>
                <c:pt idx="12">
                  <c:v>1.3828705681332765</c:v>
                </c:pt>
                <c:pt idx="13">
                  <c:v>1.2459954233409611</c:v>
                </c:pt>
                <c:pt idx="14">
                  <c:v>1.1181818181818182</c:v>
                </c:pt>
                <c:pt idx="15">
                  <c:v>1.0001127395715896</c:v>
                </c:pt>
                <c:pt idx="16">
                  <c:v>0.89253299002252973</c:v>
                </c:pt>
                <c:pt idx="17">
                  <c:v>0.79469688511778491</c:v>
                </c:pt>
                <c:pt idx="18">
                  <c:v>0.70667976424361489</c:v>
                </c:pt>
                <c:pt idx="19">
                  <c:v>0.6279352226720647</c:v>
                </c:pt>
                <c:pt idx="20">
                  <c:v>0.55806451612903218</c:v>
                </c:pt>
                <c:pt idx="21">
                  <c:v>0.49570107473131714</c:v>
                </c:pt>
                <c:pt idx="22">
                  <c:v>0.4406727828746177</c:v>
                </c:pt>
                <c:pt idx="23">
                  <c:v>0.39175738724727832</c:v>
                </c:pt>
                <c:pt idx="24">
                  <c:v>0.34892162019989476</c:v>
                </c:pt>
                <c:pt idx="25">
                  <c:v>0.31078992939922739</c:v>
                </c:pt>
                <c:pt idx="26">
                  <c:v>0.27737068965517236</c:v>
                </c:pt>
                <c:pt idx="27">
                  <c:v>0.24818441452468379</c:v>
                </c:pt>
                <c:pt idx="28">
                  <c:v>0.22223288986421616</c:v>
                </c:pt>
              </c:numCache>
            </c:numRef>
          </c:xVal>
          <c:yVal>
            <c:numRef>
              <c:f>'Curva tendencia 2'!$B$2:$B$30</c:f>
              <c:numCache>
                <c:formatCode>General</c:formatCode>
                <c:ptCount val="2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  <c:pt idx="13">
                  <c:v>45</c:v>
                </c:pt>
                <c:pt idx="14">
                  <c:v>50</c:v>
                </c:pt>
                <c:pt idx="15">
                  <c:v>55</c:v>
                </c:pt>
                <c:pt idx="16">
                  <c:v>60</c:v>
                </c:pt>
                <c:pt idx="17">
                  <c:v>65</c:v>
                </c:pt>
                <c:pt idx="18">
                  <c:v>70</c:v>
                </c:pt>
                <c:pt idx="19">
                  <c:v>75</c:v>
                </c:pt>
                <c:pt idx="20">
                  <c:v>80</c:v>
                </c:pt>
                <c:pt idx="21">
                  <c:v>85</c:v>
                </c:pt>
                <c:pt idx="22">
                  <c:v>90</c:v>
                </c:pt>
                <c:pt idx="23">
                  <c:v>95</c:v>
                </c:pt>
                <c:pt idx="24">
                  <c:v>100</c:v>
                </c:pt>
                <c:pt idx="25">
                  <c:v>105</c:v>
                </c:pt>
                <c:pt idx="26">
                  <c:v>110</c:v>
                </c:pt>
                <c:pt idx="27">
                  <c:v>115</c:v>
                </c:pt>
                <c:pt idx="28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7-4B54-9B5F-3BC44CA9C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709039"/>
        <c:axId val="1328706639"/>
      </c:scatterChart>
      <c:valAx>
        <c:axId val="132870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8706639"/>
        <c:crosses val="autoZero"/>
        <c:crossBetween val="midCat"/>
      </c:valAx>
      <c:valAx>
        <c:axId val="132870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870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13</xdr:col>
      <xdr:colOff>91659</xdr:colOff>
      <xdr:row>9</xdr:row>
      <xdr:rowOff>114389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52BA9D-1630-32DE-D7A2-ED7D9FF34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1180" y="731520"/>
          <a:ext cx="2530059" cy="10287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3</xdr:row>
      <xdr:rowOff>163830</xdr:rowOff>
    </xdr:from>
    <xdr:to>
      <xdr:col>12</xdr:col>
      <xdr:colOff>548640</xdr:colOff>
      <xdr:row>23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ABDD88-4A68-0967-3FCF-205F2EB72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13</xdr:col>
      <xdr:colOff>95469</xdr:colOff>
      <xdr:row>9</xdr:row>
      <xdr:rowOff>114389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3F2A59-7667-4834-84E0-24E089393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723900"/>
          <a:ext cx="2533869" cy="1019264"/>
        </a:xfrm>
        <a:prstGeom prst="rect">
          <a:avLst/>
        </a:prstGeom>
      </xdr:spPr>
    </xdr:pic>
    <xdr:clientData/>
  </xdr:twoCellAnchor>
  <xdr:twoCellAnchor editAs="oneCell">
    <xdr:from>
      <xdr:col>21</xdr:col>
      <xdr:colOff>577215</xdr:colOff>
      <xdr:row>0</xdr:row>
      <xdr:rowOff>110490</xdr:rowOff>
    </xdr:from>
    <xdr:to>
      <xdr:col>26</xdr:col>
      <xdr:colOff>406014</xdr:colOff>
      <xdr:row>36</xdr:row>
      <xdr:rowOff>170114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DA4C353-4280-C6C4-1572-57538C09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83540" y="110490"/>
          <a:ext cx="2876799" cy="65747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495299</xdr:colOff>
      <xdr:row>2</xdr:row>
      <xdr:rowOff>21907</xdr:rowOff>
    </xdr:from>
    <xdr:to>
      <xdr:col>17</xdr:col>
      <xdr:colOff>142874</xdr:colOff>
      <xdr:row>26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953305-5B77-15A1-6659-558319E17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E4DF-8512-4189-82E5-BC64FB754E2C}">
  <dimension ref="A1:S29"/>
  <sheetViews>
    <sheetView workbookViewId="0">
      <selection activeCell="I27" sqref="A1:XFD1048576"/>
    </sheetView>
  </sheetViews>
  <sheetFormatPr defaultRowHeight="14.4" x14ac:dyDescent="0.3"/>
  <cols>
    <col min="4" max="4" width="11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5</v>
      </c>
      <c r="J1" s="2" t="s">
        <v>3</v>
      </c>
      <c r="K1" s="3">
        <v>3.3</v>
      </c>
      <c r="M1" s="3" t="s">
        <v>4</v>
      </c>
      <c r="N1" s="3">
        <v>10000</v>
      </c>
    </row>
    <row r="2" spans="1:19" x14ac:dyDescent="0.3">
      <c r="A2">
        <v>-30</v>
      </c>
      <c r="B2">
        <v>181.7</v>
      </c>
      <c r="C2">
        <f>B2*1000</f>
        <v>181700</v>
      </c>
      <c r="D2" s="1">
        <f>((C2*K$1)/(N$1+C2))</f>
        <v>3.1278560250391236</v>
      </c>
    </row>
    <row r="3" spans="1:19" x14ac:dyDescent="0.3">
      <c r="A3">
        <v>-25</v>
      </c>
      <c r="B3">
        <v>133.30000000000001</v>
      </c>
      <c r="C3">
        <f t="shared" ref="C3:C29" si="0">B3*1000</f>
        <v>133300</v>
      </c>
      <c r="D3" s="1">
        <f>((C3*K$1)/(N$1+C3))</f>
        <v>3.0697138869504537</v>
      </c>
    </row>
    <row r="4" spans="1:19" x14ac:dyDescent="0.3">
      <c r="A4">
        <v>-20</v>
      </c>
      <c r="B4">
        <v>98.88</v>
      </c>
      <c r="C4">
        <f t="shared" si="0"/>
        <v>98880</v>
      </c>
      <c r="D4" s="1">
        <f t="shared" ref="D4:D29" si="1">((C4*K$1)/(N$1+C4))</f>
        <v>2.9969140337986775</v>
      </c>
      <c r="R4" s="5" t="s">
        <v>8</v>
      </c>
      <c r="S4" s="5">
        <f>((S7*S5)-(S7*S6))/S6</f>
        <v>20.188888888888894</v>
      </c>
    </row>
    <row r="5" spans="1:19" x14ac:dyDescent="0.3">
      <c r="A5">
        <v>-15</v>
      </c>
      <c r="B5">
        <v>74.099999999999994</v>
      </c>
      <c r="C5">
        <f t="shared" si="0"/>
        <v>74100</v>
      </c>
      <c r="D5" s="1">
        <f t="shared" si="1"/>
        <v>2.9076099881093938</v>
      </c>
      <c r="R5" s="5" t="s">
        <v>9</v>
      </c>
      <c r="S5" s="5">
        <v>5</v>
      </c>
    </row>
    <row r="6" spans="1:19" x14ac:dyDescent="0.3">
      <c r="A6">
        <v>-10</v>
      </c>
      <c r="B6">
        <v>56.06</v>
      </c>
      <c r="C6">
        <f t="shared" si="0"/>
        <v>56060</v>
      </c>
      <c r="D6" s="1">
        <f t="shared" si="1"/>
        <v>2.8004541326067214</v>
      </c>
      <c r="R6" s="5" t="s">
        <v>5</v>
      </c>
      <c r="S6" s="5">
        <v>4.5</v>
      </c>
    </row>
    <row r="7" spans="1:19" x14ac:dyDescent="0.3">
      <c r="A7">
        <v>-5</v>
      </c>
      <c r="B7">
        <v>42.8</v>
      </c>
      <c r="C7">
        <f t="shared" si="0"/>
        <v>42800</v>
      </c>
      <c r="D7" s="1">
        <f t="shared" si="1"/>
        <v>2.6749999999999998</v>
      </c>
      <c r="P7" t="s">
        <v>6</v>
      </c>
      <c r="R7" s="5" t="s">
        <v>10</v>
      </c>
      <c r="S7" s="5">
        <v>181.7</v>
      </c>
    </row>
    <row r="8" spans="1:19" x14ac:dyDescent="0.3">
      <c r="A8">
        <v>5</v>
      </c>
      <c r="B8">
        <v>25.58</v>
      </c>
      <c r="C8">
        <f t="shared" si="0"/>
        <v>25580</v>
      </c>
      <c r="D8" s="1">
        <f t="shared" si="1"/>
        <v>2.3725126475548062</v>
      </c>
    </row>
    <row r="9" spans="1:19" x14ac:dyDescent="0.3">
      <c r="A9">
        <v>10</v>
      </c>
      <c r="B9">
        <v>20</v>
      </c>
      <c r="C9">
        <f t="shared" si="0"/>
        <v>20000</v>
      </c>
      <c r="D9" s="1">
        <f t="shared" si="1"/>
        <v>2.2000000000000002</v>
      </c>
    </row>
    <row r="10" spans="1:19" x14ac:dyDescent="0.3">
      <c r="A10">
        <v>15</v>
      </c>
      <c r="B10">
        <v>15.76</v>
      </c>
      <c r="C10">
        <f t="shared" si="0"/>
        <v>15760</v>
      </c>
      <c r="D10" s="1">
        <f t="shared" si="1"/>
        <v>2.0189440993788819</v>
      </c>
    </row>
    <row r="11" spans="1:19" x14ac:dyDescent="0.3">
      <c r="A11">
        <v>20</v>
      </c>
      <c r="B11">
        <v>12.51</v>
      </c>
      <c r="C11">
        <f t="shared" si="0"/>
        <v>12510</v>
      </c>
      <c r="D11" s="1">
        <f t="shared" si="1"/>
        <v>1.8339848956019547</v>
      </c>
    </row>
    <row r="12" spans="1:19" x14ac:dyDescent="0.3">
      <c r="A12">
        <v>25</v>
      </c>
      <c r="B12">
        <v>10</v>
      </c>
      <c r="C12">
        <f t="shared" si="0"/>
        <v>10000</v>
      </c>
      <c r="D12" s="1">
        <f t="shared" si="1"/>
        <v>1.65</v>
      </c>
    </row>
    <row r="13" spans="1:19" x14ac:dyDescent="0.3">
      <c r="A13">
        <v>30</v>
      </c>
      <c r="B13">
        <v>8.048</v>
      </c>
      <c r="C13">
        <f t="shared" si="0"/>
        <v>8048</v>
      </c>
      <c r="D13" s="1">
        <f t="shared" si="1"/>
        <v>1.4715425531914892</v>
      </c>
    </row>
    <row r="14" spans="1:19" x14ac:dyDescent="0.3">
      <c r="A14">
        <v>35</v>
      </c>
      <c r="B14">
        <v>6.5179999999999998</v>
      </c>
      <c r="C14">
        <f t="shared" si="0"/>
        <v>6518</v>
      </c>
      <c r="D14" s="1">
        <f t="shared" si="1"/>
        <v>1.3021794406102432</v>
      </c>
    </row>
    <row r="15" spans="1:19" x14ac:dyDescent="0.3">
      <c r="A15">
        <v>40</v>
      </c>
      <c r="B15">
        <v>5.3120000000000003</v>
      </c>
      <c r="C15">
        <f t="shared" si="0"/>
        <v>5312</v>
      </c>
      <c r="D15" s="1">
        <f t="shared" si="1"/>
        <v>1.1448275862068964</v>
      </c>
    </row>
    <row r="16" spans="1:19" x14ac:dyDescent="0.3">
      <c r="A16">
        <v>45</v>
      </c>
      <c r="B16">
        <v>4.3540000000000001</v>
      </c>
      <c r="C16">
        <f t="shared" si="0"/>
        <v>4354</v>
      </c>
      <c r="D16" s="1">
        <f t="shared" si="1"/>
        <v>1.000989271283266</v>
      </c>
    </row>
    <row r="17" spans="1:4" x14ac:dyDescent="0.3">
      <c r="A17">
        <v>50</v>
      </c>
      <c r="B17">
        <v>3.5880000000000001</v>
      </c>
      <c r="C17">
        <f t="shared" si="0"/>
        <v>3588</v>
      </c>
      <c r="D17" s="1">
        <f t="shared" si="1"/>
        <v>0.87138651751545482</v>
      </c>
    </row>
    <row r="18" spans="1:4" x14ac:dyDescent="0.3">
      <c r="A18">
        <v>55</v>
      </c>
      <c r="B18">
        <v>2.9740000000000002</v>
      </c>
      <c r="C18">
        <f t="shared" si="0"/>
        <v>2974</v>
      </c>
      <c r="D18" s="1">
        <f t="shared" si="1"/>
        <v>0.75645136426699544</v>
      </c>
    </row>
    <row r="19" spans="1:4" x14ac:dyDescent="0.3">
      <c r="A19">
        <v>60</v>
      </c>
      <c r="B19">
        <v>2.476</v>
      </c>
      <c r="C19">
        <f t="shared" si="0"/>
        <v>2476</v>
      </c>
      <c r="D19" s="1">
        <f t="shared" si="1"/>
        <v>0.65492144918243023</v>
      </c>
    </row>
    <row r="20" spans="1:4" x14ac:dyDescent="0.3">
      <c r="A20">
        <v>65</v>
      </c>
      <c r="B20">
        <v>2.0720000000000001</v>
      </c>
      <c r="C20">
        <f t="shared" si="0"/>
        <v>2072</v>
      </c>
      <c r="D20" s="1">
        <f t="shared" si="1"/>
        <v>0.56640159045725647</v>
      </c>
    </row>
    <row r="21" spans="1:4" x14ac:dyDescent="0.3">
      <c r="A21">
        <v>70</v>
      </c>
      <c r="B21">
        <v>1.7430000000000001</v>
      </c>
      <c r="C21">
        <f t="shared" si="0"/>
        <v>1743</v>
      </c>
      <c r="D21" s="1">
        <f t="shared" si="1"/>
        <v>0.48981520906071702</v>
      </c>
    </row>
    <row r="22" spans="1:4" x14ac:dyDescent="0.3">
      <c r="A22">
        <v>75</v>
      </c>
      <c r="B22">
        <v>1.4730000000000001</v>
      </c>
      <c r="C22">
        <f t="shared" si="0"/>
        <v>1473</v>
      </c>
      <c r="D22" s="1">
        <f t="shared" si="1"/>
        <v>0.42368168744007667</v>
      </c>
    </row>
    <row r="23" spans="1:4" x14ac:dyDescent="0.3">
      <c r="A23">
        <v>80</v>
      </c>
      <c r="B23">
        <v>1.25</v>
      </c>
      <c r="C23">
        <f t="shared" si="0"/>
        <v>1250</v>
      </c>
      <c r="D23" s="1">
        <f t="shared" si="1"/>
        <v>0.36666666666666664</v>
      </c>
    </row>
    <row r="24" spans="1:4" x14ac:dyDescent="0.3">
      <c r="A24">
        <v>85</v>
      </c>
      <c r="B24">
        <v>1.0649999999999999</v>
      </c>
      <c r="C24">
        <f t="shared" si="0"/>
        <v>1065</v>
      </c>
      <c r="D24" s="1">
        <f t="shared" si="1"/>
        <v>0.31762313601446002</v>
      </c>
    </row>
    <row r="25" spans="1:4" x14ac:dyDescent="0.3">
      <c r="A25">
        <v>90</v>
      </c>
      <c r="B25">
        <v>0.91100000000000003</v>
      </c>
      <c r="C25">
        <f t="shared" si="0"/>
        <v>911</v>
      </c>
      <c r="D25" s="1">
        <f t="shared" si="1"/>
        <v>0.27552928237558427</v>
      </c>
    </row>
    <row r="26" spans="1:4" x14ac:dyDescent="0.3">
      <c r="A26">
        <v>95</v>
      </c>
      <c r="B26">
        <v>0.78239999999999998</v>
      </c>
      <c r="C26">
        <f t="shared" si="0"/>
        <v>782.4</v>
      </c>
      <c r="D26" s="1">
        <f t="shared" si="1"/>
        <v>0.23945689271405252</v>
      </c>
    </row>
    <row r="27" spans="1:4" x14ac:dyDescent="0.3">
      <c r="A27">
        <v>100</v>
      </c>
      <c r="B27">
        <v>0.6744</v>
      </c>
      <c r="C27">
        <f t="shared" si="0"/>
        <v>674.4</v>
      </c>
      <c r="D27" s="1">
        <f t="shared" si="1"/>
        <v>0.20849134377576259</v>
      </c>
    </row>
    <row r="28" spans="1:4" x14ac:dyDescent="0.3">
      <c r="A28">
        <v>105</v>
      </c>
      <c r="B28">
        <v>0.58360000000000001</v>
      </c>
      <c r="C28">
        <f t="shared" si="0"/>
        <v>583.6</v>
      </c>
      <c r="D28" s="1">
        <f t="shared" si="1"/>
        <v>0.18196832835708074</v>
      </c>
    </row>
    <row r="29" spans="1:4" x14ac:dyDescent="0.3">
      <c r="A29">
        <v>110</v>
      </c>
      <c r="B29">
        <v>0.50660000000000005</v>
      </c>
      <c r="C29">
        <f t="shared" si="0"/>
        <v>506.6</v>
      </c>
      <c r="D29" s="1">
        <f t="shared" si="1"/>
        <v>0.15911712637770545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5AF1-6CC4-4F83-88BA-EDD121A253CE}">
  <dimension ref="A1:B29"/>
  <sheetViews>
    <sheetView workbookViewId="0">
      <selection activeCell="O16" sqref="O16"/>
    </sheetView>
  </sheetViews>
  <sheetFormatPr defaultRowHeight="14.4" x14ac:dyDescent="0.3"/>
  <cols>
    <col min="2" max="2" width="11.33203125" bestFit="1" customWidth="1"/>
  </cols>
  <sheetData>
    <row r="1" spans="1:2" x14ac:dyDescent="0.3">
      <c r="A1" s="4" t="s">
        <v>5</v>
      </c>
      <c r="B1" t="s">
        <v>7</v>
      </c>
    </row>
    <row r="2" spans="1:2" x14ac:dyDescent="0.3">
      <c r="A2" s="1">
        <v>3.1278560250391201</v>
      </c>
      <c r="B2">
        <v>-30</v>
      </c>
    </row>
    <row r="3" spans="1:2" x14ac:dyDescent="0.3">
      <c r="A3" s="1">
        <v>3.0697138869504537</v>
      </c>
      <c r="B3">
        <v>-25</v>
      </c>
    </row>
    <row r="4" spans="1:2" x14ac:dyDescent="0.3">
      <c r="A4" s="1">
        <v>2.9969140337986775</v>
      </c>
      <c r="B4">
        <v>-20</v>
      </c>
    </row>
    <row r="5" spans="1:2" x14ac:dyDescent="0.3">
      <c r="A5" s="1">
        <v>2.9076099881093938</v>
      </c>
      <c r="B5">
        <v>-15</v>
      </c>
    </row>
    <row r="6" spans="1:2" x14ac:dyDescent="0.3">
      <c r="A6" s="1">
        <v>2.8004541326067214</v>
      </c>
      <c r="B6">
        <v>-10</v>
      </c>
    </row>
    <row r="7" spans="1:2" x14ac:dyDescent="0.3">
      <c r="A7" s="1">
        <v>2.6749999999999998</v>
      </c>
      <c r="B7">
        <v>-5</v>
      </c>
    </row>
    <row r="8" spans="1:2" x14ac:dyDescent="0.3">
      <c r="A8" s="1">
        <v>2.3725126475548062</v>
      </c>
      <c r="B8">
        <v>5</v>
      </c>
    </row>
    <row r="9" spans="1:2" x14ac:dyDescent="0.3">
      <c r="A9" s="1">
        <v>2.2000000000000002</v>
      </c>
      <c r="B9">
        <v>10</v>
      </c>
    </row>
    <row r="10" spans="1:2" x14ac:dyDescent="0.3">
      <c r="A10" s="1">
        <v>2.0189440993788819</v>
      </c>
      <c r="B10">
        <v>15</v>
      </c>
    </row>
    <row r="11" spans="1:2" x14ac:dyDescent="0.3">
      <c r="A11" s="1">
        <v>1.8339848956019547</v>
      </c>
      <c r="B11">
        <v>20</v>
      </c>
    </row>
    <row r="12" spans="1:2" x14ac:dyDescent="0.3">
      <c r="A12" s="1">
        <v>1.65</v>
      </c>
      <c r="B12">
        <v>25</v>
      </c>
    </row>
    <row r="13" spans="1:2" x14ac:dyDescent="0.3">
      <c r="A13" s="1">
        <v>1.4715425531914892</v>
      </c>
      <c r="B13">
        <v>30</v>
      </c>
    </row>
    <row r="14" spans="1:2" x14ac:dyDescent="0.3">
      <c r="A14" s="1">
        <v>1.3021794406102432</v>
      </c>
      <c r="B14">
        <v>35</v>
      </c>
    </row>
    <row r="15" spans="1:2" x14ac:dyDescent="0.3">
      <c r="A15" s="1">
        <v>1.1448275862068964</v>
      </c>
      <c r="B15">
        <v>40</v>
      </c>
    </row>
    <row r="16" spans="1:2" x14ac:dyDescent="0.3">
      <c r="A16" s="1">
        <v>1.000989271283266</v>
      </c>
      <c r="B16">
        <v>45</v>
      </c>
    </row>
    <row r="17" spans="1:2" x14ac:dyDescent="0.3">
      <c r="A17" s="1">
        <v>0.87138651751545482</v>
      </c>
      <c r="B17">
        <v>50</v>
      </c>
    </row>
    <row r="18" spans="1:2" x14ac:dyDescent="0.3">
      <c r="A18" s="1">
        <v>0.75645136426699544</v>
      </c>
      <c r="B18">
        <v>55</v>
      </c>
    </row>
    <row r="19" spans="1:2" x14ac:dyDescent="0.3">
      <c r="A19" s="1">
        <v>0.65492144918243023</v>
      </c>
      <c r="B19">
        <v>60</v>
      </c>
    </row>
    <row r="20" spans="1:2" x14ac:dyDescent="0.3">
      <c r="A20" s="1">
        <v>0.56640159045725647</v>
      </c>
      <c r="B20">
        <v>65</v>
      </c>
    </row>
    <row r="21" spans="1:2" x14ac:dyDescent="0.3">
      <c r="A21" s="1">
        <v>0.48981520906071702</v>
      </c>
      <c r="B21">
        <v>70</v>
      </c>
    </row>
    <row r="22" spans="1:2" x14ac:dyDescent="0.3">
      <c r="A22" s="1">
        <v>0.42368168744007667</v>
      </c>
      <c r="B22">
        <v>75</v>
      </c>
    </row>
    <row r="23" spans="1:2" x14ac:dyDescent="0.3">
      <c r="A23" s="1">
        <v>0.36666666666666664</v>
      </c>
      <c r="B23">
        <v>80</v>
      </c>
    </row>
    <row r="24" spans="1:2" x14ac:dyDescent="0.3">
      <c r="A24" s="1">
        <v>0.31762313601446002</v>
      </c>
      <c r="B24">
        <v>85</v>
      </c>
    </row>
    <row r="25" spans="1:2" x14ac:dyDescent="0.3">
      <c r="A25" s="1">
        <v>0.27552928237558427</v>
      </c>
      <c r="B25">
        <v>90</v>
      </c>
    </row>
    <row r="26" spans="1:2" x14ac:dyDescent="0.3">
      <c r="A26" s="1">
        <v>0.23945689271405252</v>
      </c>
      <c r="B26">
        <v>95</v>
      </c>
    </row>
    <row r="27" spans="1:2" x14ac:dyDescent="0.3">
      <c r="A27" s="1">
        <v>0.20849134377576259</v>
      </c>
      <c r="B27">
        <v>100</v>
      </c>
    </row>
    <row r="28" spans="1:2" x14ac:dyDescent="0.3">
      <c r="A28" s="1">
        <v>0.18196832835708074</v>
      </c>
      <c r="B28">
        <v>105</v>
      </c>
    </row>
    <row r="29" spans="1:2" x14ac:dyDescent="0.3">
      <c r="A29" s="1">
        <v>0.15911712637770545</v>
      </c>
      <c r="B29">
        <v>110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5348-25DE-4665-99A5-6BF8B0C17B96}">
  <dimension ref="A1:T30"/>
  <sheetViews>
    <sheetView workbookViewId="0">
      <selection activeCell="I23" sqref="I23"/>
    </sheetView>
  </sheetViews>
  <sheetFormatPr defaultRowHeight="14.4" x14ac:dyDescent="0.3"/>
  <cols>
    <col min="2" max="2" width="2.44140625" customWidth="1"/>
    <col min="4" max="4" width="11" bestFit="1" customWidth="1"/>
  </cols>
  <sheetData>
    <row r="1" spans="1:20" x14ac:dyDescent="0.3">
      <c r="A1" t="s">
        <v>0</v>
      </c>
      <c r="C1" t="s">
        <v>2</v>
      </c>
      <c r="D1" t="s">
        <v>5</v>
      </c>
      <c r="J1" s="2" t="s">
        <v>3</v>
      </c>
      <c r="K1" s="3">
        <v>3.3</v>
      </c>
      <c r="M1" s="3" t="s">
        <v>4</v>
      </c>
      <c r="N1" s="3">
        <v>6800</v>
      </c>
    </row>
    <row r="2" spans="1:20" x14ac:dyDescent="0.3">
      <c r="A2">
        <v>-20</v>
      </c>
      <c r="C2">
        <v>60879</v>
      </c>
      <c r="D2" s="1">
        <f>((C2*K$1)/(N$1+C2))</f>
        <v>2.9684348172993098</v>
      </c>
    </row>
    <row r="3" spans="1:20" x14ac:dyDescent="0.3">
      <c r="A3">
        <v>-15</v>
      </c>
      <c r="C3">
        <v>47563</v>
      </c>
      <c r="D3" s="1">
        <f>((C3*K$1)/(N$1+C3))</f>
        <v>2.8872192483858505</v>
      </c>
    </row>
    <row r="4" spans="1:20" x14ac:dyDescent="0.3">
      <c r="A4">
        <v>-10</v>
      </c>
      <c r="C4">
        <v>37450</v>
      </c>
      <c r="D4" s="1">
        <f t="shared" ref="D4:D30" si="0">((C4*K$1)/(N$1+C4))</f>
        <v>2.7928813559322032</v>
      </c>
      <c r="R4" s="5" t="s">
        <v>8</v>
      </c>
      <c r="S4" s="5">
        <f>((S7*S5)-(S7*S6))/S6</f>
        <v>6763.3333333333248</v>
      </c>
      <c r="T4" t="s">
        <v>14</v>
      </c>
    </row>
    <row r="5" spans="1:20" x14ac:dyDescent="0.3">
      <c r="A5">
        <v>-5</v>
      </c>
      <c r="C5">
        <v>29706</v>
      </c>
      <c r="D5" s="1">
        <f t="shared" si="0"/>
        <v>2.6853065249548016</v>
      </c>
      <c r="R5" s="5" t="s">
        <v>9</v>
      </c>
      <c r="S5" s="5">
        <v>3.3</v>
      </c>
      <c r="T5" t="s">
        <v>13</v>
      </c>
    </row>
    <row r="6" spans="1:20" x14ac:dyDescent="0.3">
      <c r="A6">
        <v>0</v>
      </c>
      <c r="C6">
        <v>23730</v>
      </c>
      <c r="D6" s="1">
        <f t="shared" si="0"/>
        <v>2.5649852603996068</v>
      </c>
      <c r="R6" s="5" t="s">
        <v>5</v>
      </c>
      <c r="S6" s="5">
        <v>2.97</v>
      </c>
      <c r="T6" t="s">
        <v>12</v>
      </c>
    </row>
    <row r="7" spans="1:20" x14ac:dyDescent="0.3">
      <c r="A7">
        <v>5</v>
      </c>
      <c r="C7">
        <v>19085</v>
      </c>
      <c r="D7" s="1">
        <f t="shared" si="0"/>
        <v>2.4330886613869036</v>
      </c>
      <c r="P7" t="s">
        <v>6</v>
      </c>
      <c r="R7" s="5" t="s">
        <v>10</v>
      </c>
      <c r="S7" s="5">
        <v>60870</v>
      </c>
      <c r="T7" t="s">
        <v>11</v>
      </c>
    </row>
    <row r="8" spans="1:20" x14ac:dyDescent="0.3">
      <c r="A8">
        <v>10</v>
      </c>
      <c r="C8">
        <v>15449</v>
      </c>
      <c r="D8" s="1">
        <f t="shared" si="0"/>
        <v>2.2914153445098653</v>
      </c>
    </row>
    <row r="9" spans="1:20" x14ac:dyDescent="0.3">
      <c r="A9">
        <v>15</v>
      </c>
      <c r="C9">
        <v>12583</v>
      </c>
      <c r="D9" s="1">
        <f t="shared" si="0"/>
        <v>2.1422844760872928</v>
      </c>
    </row>
    <row r="10" spans="1:20" x14ac:dyDescent="0.3">
      <c r="A10">
        <v>20</v>
      </c>
      <c r="C10">
        <v>10309</v>
      </c>
      <c r="D10" s="1">
        <f t="shared" si="0"/>
        <v>1.9884096089777308</v>
      </c>
    </row>
    <row r="11" spans="1:20" x14ac:dyDescent="0.3">
      <c r="A11">
        <v>25</v>
      </c>
      <c r="C11">
        <v>8495</v>
      </c>
      <c r="D11" s="1">
        <f t="shared" si="0"/>
        <v>1.8328538738149722</v>
      </c>
    </row>
    <row r="12" spans="1:20" x14ac:dyDescent="0.3">
      <c r="A12">
        <v>30</v>
      </c>
      <c r="C12">
        <v>7037</v>
      </c>
      <c r="D12" s="1">
        <f t="shared" si="0"/>
        <v>1.6782611837826118</v>
      </c>
    </row>
    <row r="13" spans="1:20" x14ac:dyDescent="0.3">
      <c r="A13">
        <v>35</v>
      </c>
      <c r="C13">
        <v>5860</v>
      </c>
      <c r="D13" s="1">
        <f t="shared" si="0"/>
        <v>1.5274881516587677</v>
      </c>
    </row>
    <row r="14" spans="1:20" x14ac:dyDescent="0.3">
      <c r="A14">
        <v>40</v>
      </c>
      <c r="C14">
        <v>4905</v>
      </c>
      <c r="D14" s="1">
        <f t="shared" si="0"/>
        <v>1.3828705681332765</v>
      </c>
    </row>
    <row r="15" spans="1:20" x14ac:dyDescent="0.3">
      <c r="A15">
        <v>45</v>
      </c>
      <c r="C15">
        <v>4125</v>
      </c>
      <c r="D15" s="1">
        <f t="shared" si="0"/>
        <v>1.2459954233409611</v>
      </c>
    </row>
    <row r="16" spans="1:20" x14ac:dyDescent="0.3">
      <c r="A16">
        <v>50</v>
      </c>
      <c r="C16">
        <v>3485</v>
      </c>
      <c r="D16" s="1">
        <f t="shared" si="0"/>
        <v>1.1181818181818182</v>
      </c>
    </row>
    <row r="17" spans="1:4" x14ac:dyDescent="0.3">
      <c r="A17">
        <v>55</v>
      </c>
      <c r="C17">
        <v>2957</v>
      </c>
      <c r="D17" s="1">
        <f t="shared" si="0"/>
        <v>1.0001127395715896</v>
      </c>
    </row>
    <row r="18" spans="1:4" x14ac:dyDescent="0.3">
      <c r="A18">
        <v>60</v>
      </c>
      <c r="C18">
        <v>2521</v>
      </c>
      <c r="D18" s="1">
        <f t="shared" si="0"/>
        <v>0.89253299002252973</v>
      </c>
    </row>
    <row r="19" spans="1:4" x14ac:dyDescent="0.3">
      <c r="A19">
        <v>65</v>
      </c>
      <c r="C19">
        <v>2157</v>
      </c>
      <c r="D19" s="1">
        <f t="shared" si="0"/>
        <v>0.79469688511778491</v>
      </c>
    </row>
    <row r="20" spans="1:4" x14ac:dyDescent="0.3">
      <c r="A20">
        <v>70</v>
      </c>
      <c r="C20">
        <v>1853</v>
      </c>
      <c r="D20" s="1">
        <f t="shared" si="0"/>
        <v>0.70667976424361489</v>
      </c>
    </row>
    <row r="21" spans="1:4" x14ac:dyDescent="0.3">
      <c r="A21">
        <v>75</v>
      </c>
      <c r="C21">
        <v>1598</v>
      </c>
      <c r="D21" s="1">
        <f t="shared" si="0"/>
        <v>0.6279352226720647</v>
      </c>
    </row>
    <row r="22" spans="1:4" x14ac:dyDescent="0.3">
      <c r="A22">
        <v>80</v>
      </c>
      <c r="C22">
        <v>1384</v>
      </c>
      <c r="D22" s="1">
        <f t="shared" si="0"/>
        <v>0.55806451612903218</v>
      </c>
    </row>
    <row r="23" spans="1:4" x14ac:dyDescent="0.3">
      <c r="A23">
        <v>85</v>
      </c>
      <c r="C23">
        <v>1202</v>
      </c>
      <c r="D23" s="1">
        <f t="shared" si="0"/>
        <v>0.49570107473131714</v>
      </c>
    </row>
    <row r="24" spans="1:4" x14ac:dyDescent="0.3">
      <c r="A24">
        <v>90</v>
      </c>
      <c r="C24">
        <v>1048</v>
      </c>
      <c r="D24" s="1">
        <f t="shared" si="0"/>
        <v>0.4406727828746177</v>
      </c>
    </row>
    <row r="25" spans="1:4" x14ac:dyDescent="0.3">
      <c r="A25">
        <v>95</v>
      </c>
      <c r="C25">
        <v>916</v>
      </c>
      <c r="D25" s="1">
        <f t="shared" si="0"/>
        <v>0.39175738724727832</v>
      </c>
    </row>
    <row r="26" spans="1:4" x14ac:dyDescent="0.3">
      <c r="A26">
        <v>100</v>
      </c>
      <c r="C26">
        <v>804</v>
      </c>
      <c r="D26" s="1">
        <f t="shared" si="0"/>
        <v>0.34892162019989476</v>
      </c>
    </row>
    <row r="27" spans="1:4" x14ac:dyDescent="0.3">
      <c r="A27">
        <v>105</v>
      </c>
      <c r="C27">
        <v>707</v>
      </c>
      <c r="D27" s="1">
        <f t="shared" si="0"/>
        <v>0.31078992939922739</v>
      </c>
    </row>
    <row r="28" spans="1:4" x14ac:dyDescent="0.3">
      <c r="A28">
        <v>110</v>
      </c>
      <c r="C28">
        <v>624</v>
      </c>
      <c r="D28" s="1">
        <f t="shared" si="0"/>
        <v>0.27737068965517236</v>
      </c>
    </row>
    <row r="29" spans="1:4" x14ac:dyDescent="0.3">
      <c r="A29">
        <v>115</v>
      </c>
      <c r="C29">
        <v>553</v>
      </c>
      <c r="D29" s="1">
        <f t="shared" si="0"/>
        <v>0.24818441452468379</v>
      </c>
    </row>
    <row r="30" spans="1:4" x14ac:dyDescent="0.3">
      <c r="A30">
        <v>120</v>
      </c>
      <c r="C30">
        <v>491</v>
      </c>
      <c r="D30" s="1">
        <f t="shared" si="0"/>
        <v>0.22223288986421616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F215-615C-4456-8304-0E80F4C4A51C}">
  <dimension ref="A1:V33"/>
  <sheetViews>
    <sheetView tabSelected="1" workbookViewId="0">
      <selection activeCell="U34" sqref="U34"/>
    </sheetView>
  </sheetViews>
  <sheetFormatPr defaultRowHeight="14.4" x14ac:dyDescent="0.3"/>
  <sheetData>
    <row r="1" spans="1:22" x14ac:dyDescent="0.3">
      <c r="A1" t="s">
        <v>5</v>
      </c>
      <c r="B1" t="s">
        <v>0</v>
      </c>
    </row>
    <row r="2" spans="1:22" x14ac:dyDescent="0.3">
      <c r="A2">
        <v>2.9684348172993098</v>
      </c>
      <c r="B2">
        <v>-20</v>
      </c>
      <c r="U2" t="s">
        <v>15</v>
      </c>
    </row>
    <row r="3" spans="1:22" x14ac:dyDescent="0.3">
      <c r="A3">
        <v>2.8872192483858505</v>
      </c>
      <c r="B3">
        <v>-15</v>
      </c>
      <c r="U3" t="s">
        <v>5</v>
      </c>
      <c r="V3" t="s">
        <v>0</v>
      </c>
    </row>
    <row r="4" spans="1:22" x14ac:dyDescent="0.3">
      <c r="A4">
        <v>2.7928813559322032</v>
      </c>
      <c r="B4">
        <v>-10</v>
      </c>
      <c r="U4">
        <v>2.9684348172993098</v>
      </c>
      <c r="V4">
        <f>-(11.023*(U4*U4*U4))+(60.988*(U4*U4))-(139.27*U4)+143.09</f>
        <v>-21.246773175096024</v>
      </c>
    </row>
    <row r="5" spans="1:22" x14ac:dyDescent="0.3">
      <c r="A5">
        <v>2.6853065249548016</v>
      </c>
      <c r="B5">
        <v>-5</v>
      </c>
      <c r="U5">
        <v>2.8872192483858505</v>
      </c>
      <c r="V5">
        <f t="shared" ref="V5:V33" si="0">-(11.023*(U5*U5*U5))+(60.988*(U5*U5))-(139.27*U5)+143.09</f>
        <v>-15.916053361025803</v>
      </c>
    </row>
    <row r="6" spans="1:22" x14ac:dyDescent="0.3">
      <c r="A6">
        <v>2.5649852603996068</v>
      </c>
      <c r="B6">
        <v>0</v>
      </c>
      <c r="U6">
        <v>2.7928813559322032</v>
      </c>
      <c r="V6">
        <f t="shared" si="0"/>
        <v>-10.292824006487024</v>
      </c>
    </row>
    <row r="7" spans="1:22" x14ac:dyDescent="0.3">
      <c r="A7">
        <v>2.4330886613869036</v>
      </c>
      <c r="B7">
        <v>5</v>
      </c>
      <c r="U7">
        <v>2.6853065249548016</v>
      </c>
      <c r="V7">
        <f t="shared" si="0"/>
        <v>-4.5587816007326012</v>
      </c>
    </row>
    <row r="8" spans="1:22" x14ac:dyDescent="0.3">
      <c r="A8">
        <v>2.2914153445098653</v>
      </c>
      <c r="B8">
        <v>10</v>
      </c>
      <c r="U8">
        <v>2.5649852603996068</v>
      </c>
      <c r="V8">
        <f t="shared" si="0"/>
        <v>1.0958976404617147</v>
      </c>
    </row>
    <row r="9" spans="1:22" x14ac:dyDescent="0.3">
      <c r="A9">
        <v>2.1422844760872928</v>
      </c>
      <c r="B9">
        <v>15</v>
      </c>
      <c r="U9">
        <v>2.4330886613869036</v>
      </c>
      <c r="V9">
        <f t="shared" si="0"/>
        <v>6.5059605366330686</v>
      </c>
    </row>
    <row r="10" spans="1:22" x14ac:dyDescent="0.3">
      <c r="A10">
        <v>1.9884096089777308</v>
      </c>
      <c r="B10">
        <v>20</v>
      </c>
      <c r="U10">
        <v>2.2914153445098653</v>
      </c>
      <c r="V10">
        <f t="shared" si="0"/>
        <v>11.566536625381019</v>
      </c>
    </row>
    <row r="11" spans="1:22" x14ac:dyDescent="0.3">
      <c r="A11">
        <v>1.8328538738149722</v>
      </c>
      <c r="B11">
        <v>25</v>
      </c>
      <c r="U11">
        <v>2.1422844760872928</v>
      </c>
      <c r="V11">
        <f t="shared" si="0"/>
        <v>16.255788981858529</v>
      </c>
    </row>
    <row r="12" spans="1:22" x14ac:dyDescent="0.3">
      <c r="A12">
        <v>1.6782611837826118</v>
      </c>
      <c r="B12">
        <v>30</v>
      </c>
      <c r="U12">
        <v>1.9884096089777308</v>
      </c>
      <c r="V12">
        <f t="shared" si="0"/>
        <v>20.637150576507963</v>
      </c>
    </row>
    <row r="13" spans="1:22" x14ac:dyDescent="0.3">
      <c r="A13">
        <v>1.5274881516587677</v>
      </c>
      <c r="B13">
        <v>35</v>
      </c>
      <c r="U13">
        <v>1.8328538738149722</v>
      </c>
      <c r="V13">
        <f t="shared" si="0"/>
        <v>24.837824493467991</v>
      </c>
    </row>
    <row r="14" spans="1:22" x14ac:dyDescent="0.3">
      <c r="A14">
        <v>1.3828705681332765</v>
      </c>
      <c r="B14">
        <v>40</v>
      </c>
      <c r="U14">
        <v>1.6782611837826118</v>
      </c>
      <c r="V14">
        <f t="shared" si="0"/>
        <v>29.030075995737974</v>
      </c>
    </row>
    <row r="15" spans="1:22" x14ac:dyDescent="0.3">
      <c r="A15">
        <v>1.2459954233409611</v>
      </c>
      <c r="B15">
        <v>45</v>
      </c>
      <c r="U15">
        <v>1.5274881516587677</v>
      </c>
      <c r="V15">
        <f t="shared" si="0"/>
        <v>33.36955266551125</v>
      </c>
    </row>
    <row r="16" spans="1:22" x14ac:dyDescent="0.3">
      <c r="A16">
        <v>1.1181818181818182</v>
      </c>
      <c r="B16">
        <v>50</v>
      </c>
      <c r="U16">
        <v>1.3828705681332765</v>
      </c>
      <c r="V16">
        <f t="shared" si="0"/>
        <v>37.976466914992116</v>
      </c>
    </row>
    <row r="17" spans="1:22" x14ac:dyDescent="0.3">
      <c r="A17">
        <v>1.0001127395715896</v>
      </c>
      <c r="B17">
        <v>55</v>
      </c>
      <c r="U17">
        <v>1.2459954233409611</v>
      </c>
      <c r="V17">
        <f t="shared" si="0"/>
        <v>42.921326296326214</v>
      </c>
    </row>
    <row r="18" spans="1:22" x14ac:dyDescent="0.3">
      <c r="A18">
        <v>0.89253299002252973</v>
      </c>
      <c r="B18">
        <v>60</v>
      </c>
      <c r="U18">
        <v>1.1181818181818182</v>
      </c>
      <c r="V18">
        <f t="shared" si="0"/>
        <v>48.204757159278728</v>
      </c>
    </row>
    <row r="19" spans="1:22" x14ac:dyDescent="0.3">
      <c r="A19">
        <v>0.79469688511778491</v>
      </c>
      <c r="B19">
        <v>65</v>
      </c>
      <c r="U19">
        <v>1.0001127395715896</v>
      </c>
      <c r="V19">
        <f t="shared" si="0"/>
        <v>53.779322451796617</v>
      </c>
    </row>
    <row r="20" spans="1:22" x14ac:dyDescent="0.3">
      <c r="A20">
        <v>0.70667976424361489</v>
      </c>
      <c r="B20">
        <v>70</v>
      </c>
      <c r="U20">
        <v>0.89253299002252973</v>
      </c>
      <c r="V20">
        <f t="shared" si="0"/>
        <v>59.533483207281137</v>
      </c>
    </row>
    <row r="21" spans="1:22" x14ac:dyDescent="0.3">
      <c r="A21">
        <v>0.6279352226720647</v>
      </c>
      <c r="B21">
        <v>75</v>
      </c>
      <c r="U21">
        <v>0.79469688511778491</v>
      </c>
      <c r="V21">
        <f t="shared" si="0"/>
        <v>65.396835399661995</v>
      </c>
    </row>
    <row r="22" spans="1:22" x14ac:dyDescent="0.3">
      <c r="A22">
        <v>0.55806451612903218</v>
      </c>
      <c r="B22">
        <v>80</v>
      </c>
      <c r="U22">
        <v>0.70667976424361489</v>
      </c>
      <c r="V22">
        <f t="shared" si="0"/>
        <v>71.23772734319445</v>
      </c>
    </row>
    <row r="23" spans="1:22" x14ac:dyDescent="0.3">
      <c r="A23">
        <v>0.49570107473131714</v>
      </c>
      <c r="B23">
        <v>85</v>
      </c>
      <c r="U23">
        <v>0.6279352226720647</v>
      </c>
      <c r="V23">
        <f t="shared" si="0"/>
        <v>76.955934759734276</v>
      </c>
    </row>
    <row r="24" spans="1:22" x14ac:dyDescent="0.3">
      <c r="A24">
        <v>0.4406727828746177</v>
      </c>
      <c r="B24">
        <v>90</v>
      </c>
      <c r="U24">
        <v>0.55806451612903218</v>
      </c>
      <c r="V24">
        <f t="shared" si="0"/>
        <v>82.446401216105542</v>
      </c>
    </row>
    <row r="25" spans="1:22" x14ac:dyDescent="0.3">
      <c r="A25">
        <v>0.39175738724727832</v>
      </c>
      <c r="B25">
        <v>95</v>
      </c>
      <c r="U25">
        <v>0.49570107473131714</v>
      </c>
      <c r="V25">
        <f t="shared" si="0"/>
        <v>87.697016167955695</v>
      </c>
    </row>
    <row r="26" spans="1:22" x14ac:dyDescent="0.3">
      <c r="A26">
        <v>0.34892162019989476</v>
      </c>
      <c r="B26">
        <v>100</v>
      </c>
      <c r="U26">
        <v>0.4406727828746177</v>
      </c>
      <c r="V26">
        <f t="shared" si="0"/>
        <v>92.617616730670022</v>
      </c>
    </row>
    <row r="27" spans="1:22" x14ac:dyDescent="0.3">
      <c r="A27">
        <v>0.31078992939922739</v>
      </c>
      <c r="B27">
        <v>105</v>
      </c>
      <c r="U27">
        <v>0.39175738724727832</v>
      </c>
      <c r="V27">
        <f t="shared" si="0"/>
        <v>97.227259344911275</v>
      </c>
    </row>
    <row r="28" spans="1:22" x14ac:dyDescent="0.3">
      <c r="A28">
        <v>0.27737068965517236</v>
      </c>
      <c r="B28">
        <v>110</v>
      </c>
      <c r="U28">
        <v>0.34892162019989476</v>
      </c>
      <c r="V28">
        <f t="shared" si="0"/>
        <v>101.45249301337115</v>
      </c>
    </row>
    <row r="29" spans="1:22" x14ac:dyDescent="0.3">
      <c r="A29">
        <v>0.24818441452468379</v>
      </c>
      <c r="B29">
        <v>115</v>
      </c>
      <c r="U29">
        <v>0.31078992939922739</v>
      </c>
      <c r="V29">
        <f t="shared" si="0"/>
        <v>105.36623770495264</v>
      </c>
    </row>
    <row r="30" spans="1:22" x14ac:dyDescent="0.3">
      <c r="A30">
        <v>0.22223288986421616</v>
      </c>
      <c r="B30">
        <v>120</v>
      </c>
      <c r="U30">
        <v>0.27737068965517236</v>
      </c>
      <c r="V30">
        <f t="shared" si="0"/>
        <v>108.91744137339938</v>
      </c>
    </row>
    <row r="31" spans="1:22" x14ac:dyDescent="0.3">
      <c r="U31">
        <v>0.24818441452468379</v>
      </c>
      <c r="V31">
        <f t="shared" si="0"/>
        <v>112.11343407746557</v>
      </c>
    </row>
    <row r="32" spans="1:22" x14ac:dyDescent="0.3">
      <c r="U32">
        <v>0.22223288986421616</v>
      </c>
      <c r="V32">
        <f t="shared" si="0"/>
        <v>115.03068454876608</v>
      </c>
    </row>
    <row r="33" spans="21:22" x14ac:dyDescent="0.3">
      <c r="U33">
        <v>1.62</v>
      </c>
      <c r="V33">
        <f t="shared" si="0"/>
        <v>30.664914056000001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Calculos iniciais </vt:lpstr>
      <vt:lpstr>Curva tendencia</vt:lpstr>
      <vt:lpstr>CALCULO TEMP 2</vt:lpstr>
      <vt:lpstr>Curva tendencia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Mozart Fraga Martins</dc:creator>
  <cp:lastModifiedBy>Mozart Fraga Martins</cp:lastModifiedBy>
  <dcterms:created xsi:type="dcterms:W3CDTF">2025-10-12T20:39:45Z</dcterms:created>
  <dcterms:modified xsi:type="dcterms:W3CDTF">2026-03-31T00:44:33Z</dcterms:modified>
</cp:coreProperties>
</file>